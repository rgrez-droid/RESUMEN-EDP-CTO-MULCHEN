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cer\Desktop\STREAMLIT WEB\ESTADOS DE PAGO - CTO MULCHEN\"/>
    </mc:Choice>
  </mc:AlternateContent>
  <xr:revisionPtr revIDLastSave="0" documentId="13_ncr:1_{E9B2F916-3F8C-48BD-8CEC-AF0E213D1E13}" xr6:coauthVersionLast="47" xr6:coauthVersionMax="47" xr10:uidLastSave="{00000000-0000-0000-0000-000000000000}"/>
  <bookViews>
    <workbookView xWindow="19090" yWindow="-110" windowWidth="19420" windowHeight="11020" xr2:uid="{00000000-000D-0000-FFFF-FFFF00000000}"/>
  </bookViews>
  <sheets>
    <sheet name="RESUME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2" l="1"/>
  <c r="E41" i="2"/>
  <c r="D41" i="2" l="1"/>
  <c r="G41" i="2"/>
  <c r="N41" i="2"/>
  <c r="O41" i="2"/>
  <c r="P41" i="2"/>
  <c r="Q41" i="2"/>
  <c r="R41" i="2"/>
  <c r="S41" i="2"/>
  <c r="C41" i="2"/>
  <c r="T35" i="2"/>
  <c r="T36" i="2"/>
  <c r="T37" i="2"/>
  <c r="T38" i="2"/>
  <c r="T39" i="2"/>
  <c r="T40" i="2"/>
  <c r="M36" i="2"/>
  <c r="M37" i="2"/>
  <c r="M38" i="2"/>
  <c r="M39" i="2"/>
  <c r="M40" i="2"/>
  <c r="M35" i="2"/>
  <c r="T27" i="2"/>
  <c r="T28" i="2"/>
  <c r="T29" i="2"/>
  <c r="T30" i="2"/>
  <c r="T31" i="2"/>
  <c r="T32" i="2"/>
  <c r="T33" i="2"/>
  <c r="T34" i="2"/>
  <c r="T23" i="2"/>
  <c r="T24" i="2"/>
  <c r="T25" i="2"/>
  <c r="T26" i="2"/>
  <c r="T20" i="2"/>
  <c r="T21" i="2"/>
  <c r="T22" i="2"/>
  <c r="T10" i="2"/>
  <c r="T11" i="2"/>
  <c r="T12" i="2"/>
  <c r="T13" i="2"/>
  <c r="T14" i="2"/>
  <c r="T15" i="2"/>
  <c r="T16" i="2"/>
  <c r="T17" i="2"/>
  <c r="T18" i="2"/>
  <c r="T19" i="2"/>
  <c r="T4" i="2"/>
  <c r="T5" i="2"/>
  <c r="T6" i="2"/>
  <c r="T7" i="2"/>
  <c r="T8" i="2"/>
  <c r="T9" i="2"/>
  <c r="T3" i="2"/>
  <c r="T2" i="2"/>
  <c r="M41" i="2" l="1"/>
  <c r="T41" i="2"/>
</calcChain>
</file>

<file path=xl/sharedStrings.xml><?xml version="1.0" encoding="utf-8"?>
<sst xmlns="http://schemas.openxmlformats.org/spreadsheetml/2006/main" count="59" uniqueCount="32">
  <si>
    <t>Mes</t>
  </si>
  <si>
    <t>Adicionales</t>
  </si>
  <si>
    <t>Ton_Total</t>
  </si>
  <si>
    <t>Periodo</t>
  </si>
  <si>
    <t>Servicio_fijo</t>
  </si>
  <si>
    <t>Transporte_residuos</t>
  </si>
  <si>
    <t>Total_neto</t>
  </si>
  <si>
    <t>IVA_19</t>
  </si>
  <si>
    <t>Ton_RAD</t>
  </si>
  <si>
    <t>Ton_Corteza_G3</t>
  </si>
  <si>
    <t>Ton_Escoria</t>
  </si>
  <si>
    <t>Ton_Cenizas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</si>
  <si>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</si>
  <si>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</si>
  <si>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</si>
  <si>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</si>
  <si>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</si>
  <si>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</si>
  <si>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</si>
  <si>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</si>
  <si>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</si>
  <si>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</si>
  <si>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</si>
  <si>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</si>
  <si>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Valor_total</t>
  </si>
  <si>
    <t>Disposicion</t>
  </si>
  <si>
    <t>Traslado</t>
  </si>
  <si>
    <t>Rembolso</t>
  </si>
  <si>
    <t>Insumos, arriendo y herramientas</t>
  </si>
  <si>
    <t>Horas Extras</t>
  </si>
  <si>
    <t>Cot Adicionales</t>
  </si>
  <si>
    <t>Bonificaciones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</si>
</sst>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 &quot;$&quot;* #,##0_ ;_ &quot;$&quot;* \-#,##0_ ;_ &quot;$&quot;* &quot;-&quot;_ ;_ @_ "/>
    <numFmt numFmtId="41" formatCode="_ * #,##0_ ;_ * \-#,##0_ ;_ * &quot;-&quot;_ ;_ @_ "/>
    <numFmt numFmtId="164" formatCode="\$\ #,##0"/>
    <numFmt numFmtId="165" formatCode="#,##0.00\ &quot;ton&quot;"/>
    <numFmt numFmtId="166" formatCode="mmmm\ yyyy"/>
    <numFmt numFmtId="167" formatCode="0\ &quot;tn&quot;"/>
    <numFmt numFmtId="168" formatCode="_-&quot;$&quot;\ * #,##0.00_-;\-&quot;$&quot;\ * #,##0.00_-;_-&quot;$&quot;\ * &quot;-&quot;??_-;_-@_-"/>
    <numFmt numFmtId="169" formatCode="_-* #,##0.00_-;\-* #,##0.00_-;_-* &quot;-&quot;??_-;_-@_-"/>
  </numFmts>
  <fonts count="11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8"/>
      <name val="Carlito"/>
    </font>
    <font>
      <sz val="10"/>
      <name val="Arial"/>
      <family val="2"/>
    </font>
    <font>
      <sz val="8"/>
      <color theme="1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indexed="8"/>
      <name val="Aptos Narrow"/>
      <family val="2"/>
    </font>
    <font>
      <u/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5" fillId="0" borderId="0"/>
    <xf numFmtId="0" fontId="6" fillId="0" borderId="0"/>
    <xf numFmtId="168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42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0" fillId="0" borderId="0" applyNumberFormat="0" applyFill="0" applyBorder="0" applyAlignment="0" applyProtection="0">
      <alignment vertical="top"/>
      <protection locked="0"/>
    </xf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164" fontId="0" fillId="0" borderId="1" xfId="0" applyNumberFormat="1" applyBorder="1" applyAlignment="1">
      <alignment wrapText="1"/>
    </xf>
    <xf numFmtId="167" fontId="0" fillId="0" borderId="1" xfId="0" applyNumberFormat="1" applyBorder="1"/>
    <xf numFmtId="165" fontId="0" fillId="4" borderId="1" xfId="0" applyNumberFormat="1" applyFill="1" applyBorder="1"/>
    <xf numFmtId="165" fontId="0" fillId="3" borderId="1" xfId="0" applyNumberForma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31">
    <cellStyle name="Hipervínculo 2" xfId="21" xr:uid="{18AE4229-12DF-46AB-86E8-7228E33790E2}"/>
    <cellStyle name="Hipervínculo 3" xfId="9" xr:uid="{54CA3EE0-2307-48DD-ACF1-30C781F426D8}"/>
    <cellStyle name="Millares [0] 4" xfId="15" xr:uid="{32103317-59C2-46C8-BCAC-F3056018335B}"/>
    <cellStyle name="Millares [0] 4 2" xfId="23" xr:uid="{C08F1752-D16F-4FD4-9A85-07B3A0C28089}"/>
    <cellStyle name="Millares [0] 4 2 2" xfId="29" xr:uid="{D5D949F2-3964-4EEE-BF35-ED940A47452C}"/>
    <cellStyle name="Millares [0] 4 3" xfId="27" xr:uid="{CB25C340-7115-4CDC-8CF7-CD1FB3E0E646}"/>
    <cellStyle name="Millares 2" xfId="14" xr:uid="{A56F9511-B973-4454-852E-5D3766FC7F28}"/>
    <cellStyle name="Moneda [0] 2" xfId="11" xr:uid="{B6E84FB3-892A-4B50-B832-CD4A6312E6DE}"/>
    <cellStyle name="Moneda [0] 2 2" xfId="22" xr:uid="{117165D3-1224-4B17-A347-D03E86B248F3}"/>
    <cellStyle name="Moneda [0] 2 2 2" xfId="28" xr:uid="{FC6B5AEC-818B-4883-ACFF-F3C92DCE290E}"/>
    <cellStyle name="Moneda [0] 2 3" xfId="26" xr:uid="{EE543588-B74E-41AB-ADDF-DD46D845D2D4}"/>
    <cellStyle name="Moneda [0] 3" xfId="24" xr:uid="{76A9F1A2-B764-450F-AE49-B628930CF487}"/>
    <cellStyle name="Moneda [0] 3 2" xfId="30" xr:uid="{C61DE1C6-D7E1-4B78-9D5B-A537D896C191}"/>
    <cellStyle name="Moneda [0] 4" xfId="25" xr:uid="{435EC7F7-999A-4C5E-A540-486AE592BA9E}"/>
    <cellStyle name="Moneda 2" xfId="7" xr:uid="{5663A843-AD39-47E1-AE37-06EF973F79A7}"/>
    <cellStyle name="Normal" xfId="0" builtinId="0"/>
    <cellStyle name="Normal 10 4" xfId="17" xr:uid="{05F2A306-6F57-48F9-BE1F-BC05AA564FE0}"/>
    <cellStyle name="Normal 12" xfId="19" xr:uid="{B30CAE57-E8B0-4437-B4BC-4AE0195FB2E1}"/>
    <cellStyle name="Normal 2" xfId="5" xr:uid="{7EE6BA0F-D19E-4AED-BB3D-444EDC17D5BA}"/>
    <cellStyle name="Normal 2 2" xfId="1" xr:uid="{372EF474-6F34-45ED-AD48-F5916CBB2546}"/>
    <cellStyle name="Normal 2_Xl0000003_Planilla de cobro aserrindic" xfId="6" xr:uid="{1426AFA6-4DEE-4150-859B-7B5D6D8E8B7B}"/>
    <cellStyle name="Normal 3" xfId="10" xr:uid="{3E92C197-5AE9-4B2C-8B46-9A75FB7EB486}"/>
    <cellStyle name="Normal 3 3" xfId="16" xr:uid="{4799CBEB-9D0E-483C-8F3C-E07D06DCCC00}"/>
    <cellStyle name="Normal 4" xfId="4" xr:uid="{8CD3B9E0-49CD-4653-81E3-C3992384ACEC}"/>
    <cellStyle name="Normal 4 2" xfId="12" xr:uid="{8D4695EE-3B3C-46A7-8955-D360797631C2}"/>
    <cellStyle name="Normal 5" xfId="20" xr:uid="{791DD17A-3299-4960-A82B-C8DEE7FD7B42}"/>
    <cellStyle name="Normal 5 5" xfId="18" xr:uid="{A00EEF90-0354-4170-878B-A1878A4DFD1C}"/>
    <cellStyle name="Normal 6" xfId="2" xr:uid="{1CE6AF33-4114-4F9C-BCDB-C22BDBFE8191}"/>
    <cellStyle name="Porcentaje 2" xfId="8" xr:uid="{A14C8122-E29C-43EC-8E0C-905BCD530AD7}"/>
    <cellStyle name="Porcentaje 3" xfId="3" xr:uid="{7FE4303A-3BC4-4661-AB7E-A55DB66808B9}"/>
    <cellStyle name="Porcentual 2 2" xfId="13" xr:uid="{4250E9AE-12A9-4607-9B5A-001A190E7845}"/>
  </cellStyles>
  <dxfs count="37">
    <dxf>
      <numFmt numFmtId="164" formatCode="\$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\ &quot;tn&quot;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\ &quot;tn&quot;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\ &quot;tn&quot;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\ &quot;tn&quot;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$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$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$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$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$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$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$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$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$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$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$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$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$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\$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\$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\$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\$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\$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\$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\$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mmmm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bl_base_2024" displayName="tbl_base_2024" ref="A1:T41" totalsRowCount="1">
  <tableColumns count="20">
    <tableColumn id="2" xr3:uid="{00000000-0010-0000-0200-000002000000}" name="Mes"/>
    <tableColumn id="3" xr3:uid="{00000000-0010-0000-0200-000003000000}" name="Periodo" dataDxfId="36"/>
    <tableColumn id="5" xr3:uid="{00000000-0010-0000-0200-000005000000}" name="Servicio_fijo" totalsRowFunction="sum" dataDxfId="35" totalsRowDxfId="17"/>
    <tableColumn id="6" xr3:uid="{00000000-0010-0000-0200-000006000000}" name="Transporte_residuos" totalsRowFunction="sum" dataDxfId="34" totalsRowDxfId="16"/>
    <tableColumn id="4" xr3:uid="{D82C578D-EEE5-4824-BCF1-CA7CEBE0866A}" name="Disposicion" totalsRowFunction="sum" dataDxfId="33" totalsRowDxfId="15"/>
    <tableColumn id="1" xr3:uid="{94464303-8D05-4F20-AFC1-8D054E15DEBA}" name="Traslado" totalsRowFunction="sum" dataDxfId="32" totalsRowDxfId="14"/>
    <tableColumn id="7" xr3:uid="{00000000-0010-0000-0200-000007000000}" name="Adicionales" totalsRowFunction="sum" dataDxfId="31" totalsRowDxfId="13"/>
    <tableColumn id="16" xr3:uid="{681C4D65-B60F-4E2D-BB6B-2AD311916AA7}" name="Rembolso" dataDxfId="30" totalsRowDxfId="12"/>
    <tableColumn id="18" xr3:uid="{BA229E40-2EFD-43AF-9FA8-55F2527C7483}" name="Insumos, arriendo y herramientas" dataDxfId="29" totalsRowDxfId="11"/>
    <tableColumn id="19" xr3:uid="{7A67B7C7-9BB1-441E-8777-B6C37A9976C3}" name="Horas Extras" dataDxfId="28" totalsRowDxfId="10"/>
    <tableColumn id="20" xr3:uid="{8E54F8A0-100B-4B21-9644-95F1D83F60BC}" name="Bonificaciones" dataDxfId="27" totalsRowDxfId="9"/>
    <tableColumn id="17" xr3:uid="{D06BF01E-496B-461C-B3FB-D890FE298630}" name="Cot Adicionales" dataDxfId="26" totalsRowDxfId="8"/>
    <tableColumn id="8" xr3:uid="{00000000-0010-0000-0200-000008000000}" name="Total_neto" totalsRowFunction="sum" dataDxfId="25" totalsRowDxfId="7"/>
    <tableColumn id="9" xr3:uid="{00000000-0010-0000-0200-000009000000}" name="IVA_19" totalsRowFunction="sum" dataDxfId="24" totalsRowDxfId="6"/>
    <tableColumn id="10" xr3:uid="{00000000-0010-0000-0200-00000A000000}" name="Valor_total" totalsRowFunction="sum" dataDxfId="23" totalsRowDxfId="5"/>
    <tableColumn id="11" xr3:uid="{00000000-0010-0000-0200-00000B000000}" name="Ton_RAD" totalsRowFunction="sum" dataDxfId="22" totalsRowDxfId="4"/>
    <tableColumn id="12" xr3:uid="{00000000-0010-0000-0200-00000C000000}" name="Ton_Corteza_G3" totalsRowFunction="sum" dataDxfId="21" totalsRowDxfId="3"/>
    <tableColumn id="13" xr3:uid="{00000000-0010-0000-0200-00000D000000}" name="Ton_Escoria" totalsRowFunction="sum" dataDxfId="20" totalsRowDxfId="2"/>
    <tableColumn id="14" xr3:uid="{00000000-0010-0000-0200-00000E000000}" name="Ton_Cenizas" totalsRowFunction="sum" dataDxfId="19" totalsRowDxfId="1"/>
    <tableColumn id="15" xr3:uid="{00000000-0010-0000-0200-00000F000000}" name="Ton_Total" totalsRowFunction="sum" dataDxfId="18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3"/>
  <sheetViews>
    <sheetView tabSelected="1" zoomScale="55" zoomScaleNormal="55" workbookViewId="0">
      <selection activeCell="F45" sqref="F45"/>
    </sheetView>
  </sheetViews>
  <sheetFormatPr baseColWidth="10" defaultColWidth="8.6640625" defaultRowHeight="14"/>
  <cols>
    <col min="1" max="1" width="14.9140625" customWidth="1"/>
    <col min="2" max="2" width="15.25" bestFit="1" customWidth="1"/>
    <col min="3" max="7" width="14.9140625" customWidth="1"/>
    <col min="8" max="8" width="13.08203125" customWidth="1"/>
    <col min="9" max="9" width="17.4140625" customWidth="1"/>
    <col min="10" max="10" width="14.9140625" customWidth="1"/>
    <col min="11" max="11" width="13.25" customWidth="1"/>
    <col min="12" max="16" width="14.9140625" customWidth="1"/>
    <col min="17" max="17" width="15.25" bestFit="1" customWidth="1"/>
    <col min="18" max="18" width="11.75" bestFit="1" customWidth="1"/>
  </cols>
  <sheetData>
    <row r="1" spans="1:20" ht="38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25</v>
      </c>
      <c r="F1" s="1" t="s">
        <v>26</v>
      </c>
      <c r="G1" s="1" t="s">
        <v>1</v>
      </c>
      <c r="H1" s="1" t="s">
        <v>27</v>
      </c>
      <c r="I1" s="5" t="s">
        <v>28</v>
      </c>
      <c r="J1" s="1" t="s">
        <v>29</v>
      </c>
      <c r="K1" s="1" t="s">
        <v>31</v>
      </c>
      <c r="L1" s="1" t="s">
        <v>30</v>
      </c>
      <c r="M1" s="1" t="s">
        <v>6</v>
      </c>
      <c r="N1" s="1" t="s">
        <v>7</v>
      </c>
      <c r="O1" s="1" t="s">
        <v>24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2</v>
      </c>
    </row>
    <row r="2" spans="1:20">
      <c r="A2" t="s">
        <v>15</v>
      </c>
      <c r="B2" s="4">
        <v>45017</v>
      </c>
      <c r="C2" s="10">
        <v>43620818</v>
      </c>
      <c r="D2" s="10">
        <v>3096609</v>
      </c>
      <c r="E2" s="10">
        <v>0</v>
      </c>
      <c r="F2" s="10">
        <v>3096608.56</v>
      </c>
      <c r="G2" s="10">
        <v>7220866</v>
      </c>
      <c r="H2" s="10">
        <v>0</v>
      </c>
      <c r="I2" s="10">
        <v>81942</v>
      </c>
      <c r="J2" s="10">
        <v>908887</v>
      </c>
      <c r="K2" s="10">
        <v>0</v>
      </c>
      <c r="L2" s="10">
        <v>6230036.6768218745</v>
      </c>
      <c r="M2" s="10">
        <v>53938292</v>
      </c>
      <c r="N2" s="10">
        <v>10248276</v>
      </c>
      <c r="O2" s="10">
        <v>64186568</v>
      </c>
      <c r="P2" s="11">
        <v>54.3</v>
      </c>
      <c r="Q2" s="11">
        <v>185.03</v>
      </c>
      <c r="R2" s="11">
        <v>0</v>
      </c>
      <c r="S2" s="11">
        <v>35.79</v>
      </c>
      <c r="T2" s="11">
        <f>+tbl_base_2024[[#This Row],[Ton_Cenizas]]+tbl_base_2024[[#This Row],[Ton_Escoria]]+tbl_base_2024[[#This Row],[Ton_Corteza_G3]]+tbl_base_2024[[#This Row],[Ton_RAD]]</f>
        <v>275.12</v>
      </c>
    </row>
    <row r="3" spans="1:20">
      <c r="A3" t="s">
        <v>16</v>
      </c>
      <c r="B3" s="4">
        <v>45048</v>
      </c>
      <c r="C3" s="10">
        <v>43620818</v>
      </c>
      <c r="D3" s="10">
        <v>3047096</v>
      </c>
      <c r="E3" s="10">
        <v>0</v>
      </c>
      <c r="F3" s="10">
        <v>3047095.7199999997</v>
      </c>
      <c r="G3" s="10">
        <v>5293155</v>
      </c>
      <c r="H3" s="10">
        <v>0</v>
      </c>
      <c r="I3" s="10">
        <v>182673</v>
      </c>
      <c r="J3" s="10">
        <v>506203</v>
      </c>
      <c r="K3" s="10">
        <v>623765.41082187498</v>
      </c>
      <c r="L3" s="10">
        <v>3980513.838</v>
      </c>
      <c r="M3" s="10">
        <v>51961069</v>
      </c>
      <c r="N3" s="10">
        <v>9872603</v>
      </c>
      <c r="O3" s="10">
        <v>61833672</v>
      </c>
      <c r="P3" s="11">
        <v>83.6</v>
      </c>
      <c r="Q3" s="11">
        <v>196.23</v>
      </c>
      <c r="R3" s="11">
        <v>16.45</v>
      </c>
      <c r="S3" s="11">
        <v>77.78</v>
      </c>
      <c r="T3" s="11">
        <f>+tbl_base_2024[[#This Row],[Ton_Cenizas]]+tbl_base_2024[[#This Row],[Ton_Escoria]]+tbl_base_2024[[#This Row],[Ton_Corteza_G3]]+tbl_base_2024[[#This Row],[Ton_RAD]]</f>
        <v>374.05999999999995</v>
      </c>
    </row>
    <row r="4" spans="1:20">
      <c r="A4" t="s">
        <v>17</v>
      </c>
      <c r="B4" s="4">
        <v>45080</v>
      </c>
      <c r="C4" s="10">
        <v>43620818</v>
      </c>
      <c r="D4" s="10">
        <v>3387215</v>
      </c>
      <c r="E4" s="10">
        <v>0</v>
      </c>
      <c r="F4" s="10">
        <v>3387215.2399999998</v>
      </c>
      <c r="G4" s="10">
        <v>2860339</v>
      </c>
      <c r="H4" s="10">
        <v>0</v>
      </c>
      <c r="I4" s="10">
        <v>389001</v>
      </c>
      <c r="J4" s="10">
        <v>1847573</v>
      </c>
      <c r="K4" s="10">
        <v>623765.41082187498</v>
      </c>
      <c r="L4" s="10">
        <v>0</v>
      </c>
      <c r="M4" s="10">
        <v>49868373</v>
      </c>
      <c r="N4" s="10">
        <v>9474991</v>
      </c>
      <c r="O4" s="10">
        <v>59343364</v>
      </c>
      <c r="P4" s="11">
        <v>84.6</v>
      </c>
      <c r="Q4" s="11">
        <v>129.69</v>
      </c>
      <c r="R4" s="11">
        <v>20.239999999999998</v>
      </c>
      <c r="S4" s="11">
        <v>90.72</v>
      </c>
      <c r="T4" s="11">
        <f>+tbl_base_2024[[#This Row],[Ton_Cenizas]]+tbl_base_2024[[#This Row],[Ton_Escoria]]+tbl_base_2024[[#This Row],[Ton_Corteza_G3]]+tbl_base_2024[[#This Row],[Ton_RAD]]</f>
        <v>325.25</v>
      </c>
    </row>
    <row r="5" spans="1:20">
      <c r="A5" t="s">
        <v>18</v>
      </c>
      <c r="B5" s="4">
        <v>45111</v>
      </c>
      <c r="C5" s="10">
        <v>43620818</v>
      </c>
      <c r="D5" s="10">
        <v>3067022</v>
      </c>
      <c r="E5" s="10">
        <v>0</v>
      </c>
      <c r="F5" s="10">
        <v>3067021.6</v>
      </c>
      <c r="G5" s="10">
        <v>4288060</v>
      </c>
      <c r="H5" s="10">
        <v>0</v>
      </c>
      <c r="I5" s="10">
        <v>2154765.2170000002</v>
      </c>
      <c r="J5" s="10">
        <v>1509529.6075499998</v>
      </c>
      <c r="K5" s="10">
        <v>623765.41082187498</v>
      </c>
      <c r="L5" s="10">
        <v>0</v>
      </c>
      <c r="M5" s="10">
        <v>50975900</v>
      </c>
      <c r="N5" s="10">
        <v>9685421</v>
      </c>
      <c r="O5" s="10">
        <v>60661321</v>
      </c>
      <c r="P5" s="11">
        <v>105.4</v>
      </c>
      <c r="Q5" s="11">
        <v>198.5</v>
      </c>
      <c r="R5" s="11">
        <v>8.3000000000000007</v>
      </c>
      <c r="S5" s="11">
        <v>122.1</v>
      </c>
      <c r="T5" s="11">
        <f>+tbl_base_2024[[#This Row],[Ton_Cenizas]]+tbl_base_2024[[#This Row],[Ton_Escoria]]+tbl_base_2024[[#This Row],[Ton_Corteza_G3]]+tbl_base_2024[[#This Row],[Ton_RAD]]</f>
        <v>434.29999999999995</v>
      </c>
    </row>
    <row r="6" spans="1:20">
      <c r="A6" t="s">
        <v>19</v>
      </c>
      <c r="B6" s="4">
        <v>45143</v>
      </c>
      <c r="C6" s="10">
        <v>43620818</v>
      </c>
      <c r="D6" s="10">
        <v>3875666</v>
      </c>
      <c r="E6" s="10">
        <v>0</v>
      </c>
      <c r="F6" s="10">
        <v>3875665.6</v>
      </c>
      <c r="G6" s="10">
        <v>2503348</v>
      </c>
      <c r="H6" s="10">
        <v>0</v>
      </c>
      <c r="I6" s="10">
        <v>-228864</v>
      </c>
      <c r="J6" s="10">
        <v>2106394</v>
      </c>
      <c r="K6" s="10">
        <v>625818.16082187498</v>
      </c>
      <c r="L6" s="10">
        <v>0</v>
      </c>
      <c r="M6" s="10">
        <v>49999832</v>
      </c>
      <c r="N6" s="10">
        <v>9499968</v>
      </c>
      <c r="O6" s="10">
        <v>59499800</v>
      </c>
      <c r="P6" s="11">
        <v>110.4</v>
      </c>
      <c r="Q6" s="11">
        <v>315.07</v>
      </c>
      <c r="R6" s="11">
        <v>7.36</v>
      </c>
      <c r="S6" s="11">
        <v>190.1</v>
      </c>
      <c r="T6" s="11">
        <f>+tbl_base_2024[[#This Row],[Ton_Cenizas]]+tbl_base_2024[[#This Row],[Ton_Escoria]]+tbl_base_2024[[#This Row],[Ton_Corteza_G3]]+tbl_base_2024[[#This Row],[Ton_RAD]]</f>
        <v>622.92999999999995</v>
      </c>
    </row>
    <row r="7" spans="1:20">
      <c r="A7" t="s">
        <v>20</v>
      </c>
      <c r="B7" s="4">
        <v>45175</v>
      </c>
      <c r="C7" s="10">
        <v>43620818</v>
      </c>
      <c r="D7" s="10">
        <v>4583755</v>
      </c>
      <c r="E7" s="10">
        <v>0</v>
      </c>
      <c r="F7" s="10">
        <v>4583754.5</v>
      </c>
      <c r="G7" s="10">
        <v>2292126</v>
      </c>
      <c r="H7" s="10">
        <v>0</v>
      </c>
      <c r="I7" s="10">
        <v>688123.01599999995</v>
      </c>
      <c r="J7" s="10">
        <v>978185</v>
      </c>
      <c r="K7" s="10">
        <v>625818.16082187498</v>
      </c>
      <c r="L7" s="10">
        <v>0</v>
      </c>
      <c r="M7" s="10">
        <v>50496698</v>
      </c>
      <c r="N7" s="10">
        <v>9594373</v>
      </c>
      <c r="O7" s="10">
        <v>60091071</v>
      </c>
      <c r="P7" s="11">
        <v>92.5</v>
      </c>
      <c r="Q7" s="11">
        <v>172.36</v>
      </c>
      <c r="R7" s="11">
        <v>82.7</v>
      </c>
      <c r="S7" s="11">
        <v>205.5</v>
      </c>
      <c r="T7" s="11">
        <f>+tbl_base_2024[[#This Row],[Ton_Cenizas]]+tbl_base_2024[[#This Row],[Ton_Escoria]]+tbl_base_2024[[#This Row],[Ton_Corteza_G3]]+tbl_base_2024[[#This Row],[Ton_RAD]]</f>
        <v>553.05999999999995</v>
      </c>
    </row>
    <row r="8" spans="1:20">
      <c r="A8" t="s">
        <v>21</v>
      </c>
      <c r="B8" s="4">
        <v>45206</v>
      </c>
      <c r="C8" s="10">
        <v>43620818</v>
      </c>
      <c r="D8" s="10">
        <v>7510367</v>
      </c>
      <c r="E8" s="10">
        <v>2087483.6903499998</v>
      </c>
      <c r="F8" s="10">
        <v>5422883.7999999998</v>
      </c>
      <c r="G8" s="10">
        <v>43826094</v>
      </c>
      <c r="H8" s="10">
        <v>0</v>
      </c>
      <c r="I8" s="10">
        <v>0</v>
      </c>
      <c r="J8" s="10">
        <v>0</v>
      </c>
      <c r="K8" s="10">
        <v>389718.28922139318</v>
      </c>
      <c r="L8" s="10">
        <v>43436375.32</v>
      </c>
      <c r="M8" s="10">
        <v>94957279</v>
      </c>
      <c r="N8" s="10">
        <v>18041883</v>
      </c>
      <c r="O8" s="10">
        <v>112999162</v>
      </c>
      <c r="P8" s="11">
        <v>73.599999999999994</v>
      </c>
      <c r="Q8" s="11">
        <v>119.9</v>
      </c>
      <c r="R8" s="11">
        <v>22.35</v>
      </c>
      <c r="S8" s="11">
        <v>61</v>
      </c>
      <c r="T8" s="11">
        <f>+tbl_base_2024[[#This Row],[Ton_Cenizas]]+tbl_base_2024[[#This Row],[Ton_Escoria]]+tbl_base_2024[[#This Row],[Ton_Corteza_G3]]+tbl_base_2024[[#This Row],[Ton_RAD]]</f>
        <v>276.85000000000002</v>
      </c>
    </row>
    <row r="9" spans="1:20">
      <c r="A9" t="s">
        <v>22</v>
      </c>
      <c r="B9" s="4">
        <v>45238</v>
      </c>
      <c r="C9" s="10">
        <v>44238374</v>
      </c>
      <c r="D9" s="10">
        <v>7183958</v>
      </c>
      <c r="E9" s="10">
        <v>1992476.5080999993</v>
      </c>
      <c r="F9" s="10">
        <v>5191481.0199999996</v>
      </c>
      <c r="G9" s="10">
        <v>389718</v>
      </c>
      <c r="H9" s="10">
        <v>0</v>
      </c>
      <c r="I9" s="10">
        <v>0</v>
      </c>
      <c r="J9" s="10">
        <v>0</v>
      </c>
      <c r="K9" s="10">
        <v>389718.28922139318</v>
      </c>
      <c r="L9" s="10">
        <v>0</v>
      </c>
      <c r="M9" s="10">
        <v>51812050</v>
      </c>
      <c r="N9" s="10">
        <v>9844289</v>
      </c>
      <c r="O9" s="10">
        <v>61656339</v>
      </c>
      <c r="P9" s="11">
        <v>75.099999999999994</v>
      </c>
      <c r="Q9" s="11">
        <v>155.1</v>
      </c>
      <c r="R9" s="11">
        <v>0</v>
      </c>
      <c r="S9" s="11">
        <v>72.099999999999994</v>
      </c>
      <c r="T9" s="11">
        <f>+tbl_base_2024[[#This Row],[Ton_Cenizas]]+tbl_base_2024[[#This Row],[Ton_Escoria]]+tbl_base_2024[[#This Row],[Ton_Corteza_G3]]+tbl_base_2024[[#This Row],[Ton_RAD]]</f>
        <v>302.29999999999995</v>
      </c>
    </row>
    <row r="10" spans="1:20">
      <c r="A10" t="s">
        <v>23</v>
      </c>
      <c r="B10" s="4">
        <v>45269</v>
      </c>
      <c r="C10" s="10">
        <v>44238374</v>
      </c>
      <c r="D10" s="10">
        <v>6549424</v>
      </c>
      <c r="E10" s="10">
        <v>1433330.4792800006</v>
      </c>
      <c r="F10" s="10">
        <v>5116093.57</v>
      </c>
      <c r="G10" s="10">
        <v>6139328</v>
      </c>
      <c r="H10" s="10">
        <v>515200</v>
      </c>
      <c r="I10" s="10">
        <v>147840.99799999999</v>
      </c>
      <c r="J10" s="10">
        <v>4141088.6749999998</v>
      </c>
      <c r="K10" s="10">
        <v>389718.28922139318</v>
      </c>
      <c r="L10" s="10">
        <v>945480</v>
      </c>
      <c r="M10" s="10">
        <v>56927127</v>
      </c>
      <c r="N10" s="10">
        <v>10816154</v>
      </c>
      <c r="O10" s="10">
        <v>67743281</v>
      </c>
      <c r="P10" s="11">
        <v>44.8</v>
      </c>
      <c r="Q10" s="11">
        <v>140.80000000000001</v>
      </c>
      <c r="R10" s="11">
        <v>19.71</v>
      </c>
      <c r="S10" s="11">
        <v>54.2</v>
      </c>
      <c r="T10" s="11">
        <f>+tbl_base_2024[[#This Row],[Ton_Cenizas]]+tbl_base_2024[[#This Row],[Ton_Escoria]]+tbl_base_2024[[#This Row],[Ton_Corteza_G3]]+tbl_base_2024[[#This Row],[Ton_RAD]]</f>
        <v>259.51</v>
      </c>
    </row>
    <row r="11" spans="1:20">
      <c r="A11" t="s">
        <v>12</v>
      </c>
      <c r="B11" s="4">
        <v>45292</v>
      </c>
      <c r="C11" s="10">
        <v>44238374</v>
      </c>
      <c r="D11" s="10">
        <v>6874580</v>
      </c>
      <c r="E11" s="10">
        <v>1902649.0730400002</v>
      </c>
      <c r="F11" s="10">
        <v>4971930.5300000012</v>
      </c>
      <c r="G11" s="10">
        <v>2538356</v>
      </c>
      <c r="H11" s="10">
        <v>177100</v>
      </c>
      <c r="I11" s="10">
        <v>321472.17300000001</v>
      </c>
      <c r="J11" s="10">
        <v>1290326</v>
      </c>
      <c r="K11" s="10">
        <v>749458.24850267929</v>
      </c>
      <c r="L11" s="10">
        <v>0</v>
      </c>
      <c r="M11" s="10">
        <v>53651310</v>
      </c>
      <c r="N11" s="10">
        <v>10193749</v>
      </c>
      <c r="O11" s="10">
        <v>63845058</v>
      </c>
      <c r="P11" s="11">
        <v>75.599999999999994</v>
      </c>
      <c r="Q11" s="11">
        <v>185.3</v>
      </c>
      <c r="R11" s="11">
        <v>8.9700000000000006</v>
      </c>
      <c r="S11" s="11">
        <v>40.200000000000003</v>
      </c>
      <c r="T11" s="11">
        <f>+tbl_base_2024[[#This Row],[Ton_Cenizas]]+tbl_base_2024[[#This Row],[Ton_Escoria]]+tbl_base_2024[[#This Row],[Ton_Corteza_G3]]+tbl_base_2024[[#This Row],[Ton_RAD]]</f>
        <v>310.07000000000005</v>
      </c>
    </row>
    <row r="12" spans="1:20">
      <c r="A12" t="s">
        <v>13</v>
      </c>
      <c r="B12" s="4">
        <v>45324</v>
      </c>
      <c r="C12" s="10">
        <v>44238374</v>
      </c>
      <c r="D12" s="10">
        <v>6547184</v>
      </c>
      <c r="E12" s="10">
        <v>1794629.74</v>
      </c>
      <c r="F12" s="10">
        <v>4752554.08</v>
      </c>
      <c r="G12" s="10">
        <v>6561520</v>
      </c>
      <c r="H12" s="10">
        <v>177100</v>
      </c>
      <c r="I12" s="10">
        <v>109631.42000000001</v>
      </c>
      <c r="J12" s="10">
        <v>2611998</v>
      </c>
      <c r="K12" s="10">
        <v>629544.92874225043</v>
      </c>
      <c r="L12" s="10">
        <v>3033245.21</v>
      </c>
      <c r="M12" s="10">
        <v>57347078</v>
      </c>
      <c r="N12" s="10">
        <v>10895945</v>
      </c>
      <c r="O12" s="10">
        <v>68243022</v>
      </c>
      <c r="P12" s="11">
        <v>75.400000000000006</v>
      </c>
      <c r="Q12" s="11">
        <v>165.7</v>
      </c>
      <c r="R12" s="11">
        <v>0</v>
      </c>
      <c r="S12" s="11">
        <v>53.2</v>
      </c>
      <c r="T12" s="11">
        <f>+tbl_base_2024[[#This Row],[Ton_Cenizas]]+tbl_base_2024[[#This Row],[Ton_Escoria]]+tbl_base_2024[[#This Row],[Ton_Corteza_G3]]+tbl_base_2024[[#This Row],[Ton_RAD]]</f>
        <v>294.29999999999995</v>
      </c>
    </row>
    <row r="13" spans="1:20">
      <c r="A13" t="s">
        <v>14</v>
      </c>
      <c r="B13" s="4">
        <v>45354</v>
      </c>
      <c r="C13" s="10">
        <v>44238374</v>
      </c>
      <c r="D13" s="10">
        <v>7615672</v>
      </c>
      <c r="E13" s="10">
        <v>1811733.1994399999</v>
      </c>
      <c r="F13" s="10">
        <v>5803938.8100000005</v>
      </c>
      <c r="G13" s="10">
        <v>7708896</v>
      </c>
      <c r="H13" s="10">
        <v>177100</v>
      </c>
      <c r="I13" s="10">
        <v>73256</v>
      </c>
      <c r="J13" s="10">
        <v>3568478</v>
      </c>
      <c r="K13" s="10">
        <v>401085.07265701838</v>
      </c>
      <c r="L13" s="10">
        <v>3588976.73</v>
      </c>
      <c r="M13" s="10">
        <v>59562942</v>
      </c>
      <c r="N13" s="10">
        <v>11316959</v>
      </c>
      <c r="O13" s="10">
        <v>70879900</v>
      </c>
      <c r="P13" s="11">
        <v>57.6</v>
      </c>
      <c r="Q13" s="11">
        <v>185.9</v>
      </c>
      <c r="R13" s="11">
        <v>9.69</v>
      </c>
      <c r="S13" s="11">
        <v>70.3</v>
      </c>
      <c r="T13" s="11">
        <f>+tbl_base_2024[[#This Row],[Ton_Cenizas]]+tbl_base_2024[[#This Row],[Ton_Escoria]]+tbl_base_2024[[#This Row],[Ton_Corteza_G3]]+tbl_base_2024[[#This Row],[Ton_RAD]]</f>
        <v>323.49</v>
      </c>
    </row>
    <row r="14" spans="1:20">
      <c r="A14" t="s">
        <v>15</v>
      </c>
      <c r="B14" s="4">
        <v>45386</v>
      </c>
      <c r="C14" s="10">
        <v>44238374</v>
      </c>
      <c r="D14" s="10">
        <v>9039237</v>
      </c>
      <c r="E14" s="10">
        <v>2842857.7482600003</v>
      </c>
      <c r="F14" s="10">
        <v>6196379.4600000009</v>
      </c>
      <c r="G14" s="10">
        <v>3627767</v>
      </c>
      <c r="H14" s="10">
        <v>177100</v>
      </c>
      <c r="I14" s="10">
        <v>1231656.3599999999</v>
      </c>
      <c r="J14" s="10">
        <v>1751352</v>
      </c>
      <c r="K14" s="10">
        <v>467658.45322703937</v>
      </c>
      <c r="L14" s="10">
        <v>0</v>
      </c>
      <c r="M14" s="10">
        <v>56905378</v>
      </c>
      <c r="N14" s="10">
        <v>10812022</v>
      </c>
      <c r="O14" s="10">
        <v>67717400</v>
      </c>
      <c r="P14" s="11">
        <v>111.8</v>
      </c>
      <c r="Q14" s="11">
        <v>199.2</v>
      </c>
      <c r="R14" s="11">
        <v>6.59</v>
      </c>
      <c r="S14" s="11">
        <v>67.7</v>
      </c>
      <c r="T14" s="11">
        <f>+tbl_base_2024[[#This Row],[Ton_Cenizas]]+tbl_base_2024[[#This Row],[Ton_Escoria]]+tbl_base_2024[[#This Row],[Ton_Corteza_G3]]+tbl_base_2024[[#This Row],[Ton_RAD]]</f>
        <v>385.29</v>
      </c>
    </row>
    <row r="15" spans="1:20">
      <c r="A15" t="s">
        <v>16</v>
      </c>
      <c r="B15" s="4">
        <v>45417</v>
      </c>
      <c r="C15" s="10">
        <v>45256310</v>
      </c>
      <c r="D15" s="10">
        <v>9392718</v>
      </c>
      <c r="E15" s="10">
        <v>3052419.1866000001</v>
      </c>
      <c r="F15" s="10">
        <v>6340298.9000000004</v>
      </c>
      <c r="G15" s="10">
        <v>4405625</v>
      </c>
      <c r="H15" s="10">
        <v>177100</v>
      </c>
      <c r="I15" s="10">
        <v>240044</v>
      </c>
      <c r="J15" s="10">
        <v>2482554</v>
      </c>
      <c r="K15" s="10">
        <v>487991.42945430195</v>
      </c>
      <c r="L15" s="10">
        <v>1017936</v>
      </c>
      <c r="M15" s="10">
        <v>59054653</v>
      </c>
      <c r="N15" s="10">
        <v>11220384</v>
      </c>
      <c r="O15" s="10">
        <v>70275038</v>
      </c>
      <c r="P15" s="11">
        <v>133</v>
      </c>
      <c r="Q15" s="11">
        <v>253.6</v>
      </c>
      <c r="R15" s="11">
        <v>0</v>
      </c>
      <c r="S15" s="11">
        <v>58.9</v>
      </c>
      <c r="T15" s="11">
        <f>+tbl_base_2024[[#This Row],[Ton_Cenizas]]+tbl_base_2024[[#This Row],[Ton_Escoria]]+tbl_base_2024[[#This Row],[Ton_Corteza_G3]]+tbl_base_2024[[#This Row],[Ton_RAD]]</f>
        <v>445.5</v>
      </c>
    </row>
    <row r="16" spans="1:20">
      <c r="A16" t="s">
        <v>17</v>
      </c>
      <c r="B16" s="4">
        <v>45449</v>
      </c>
      <c r="C16" s="10">
        <v>45256310</v>
      </c>
      <c r="D16" s="10">
        <v>11262736</v>
      </c>
      <c r="E16" s="10">
        <v>2717972.81262</v>
      </c>
      <c r="F16" s="10">
        <v>8544763.3500000015</v>
      </c>
      <c r="G16" s="10">
        <v>5384325</v>
      </c>
      <c r="H16" s="10">
        <v>177100</v>
      </c>
      <c r="I16" s="10">
        <v>1302806</v>
      </c>
      <c r="J16" s="10">
        <v>3425996</v>
      </c>
      <c r="K16" s="10">
        <v>478422.97005323722</v>
      </c>
      <c r="L16" s="10">
        <v>0</v>
      </c>
      <c r="M16" s="10">
        <v>61903371</v>
      </c>
      <c r="N16" s="10">
        <v>11761641</v>
      </c>
      <c r="O16" s="10">
        <v>73665012</v>
      </c>
      <c r="P16" s="11">
        <v>89.7</v>
      </c>
      <c r="Q16" s="11">
        <v>333.4</v>
      </c>
      <c r="R16" s="11">
        <v>8.09</v>
      </c>
      <c r="S16" s="11">
        <v>89.8</v>
      </c>
      <c r="T16" s="11">
        <f>+tbl_base_2024[[#This Row],[Ton_Cenizas]]+tbl_base_2024[[#This Row],[Ton_Escoria]]+tbl_base_2024[[#This Row],[Ton_Corteza_G3]]+tbl_base_2024[[#This Row],[Ton_RAD]]</f>
        <v>520.99</v>
      </c>
    </row>
    <row r="17" spans="1:20">
      <c r="A17" t="s">
        <v>18</v>
      </c>
      <c r="B17" s="4">
        <v>45480</v>
      </c>
      <c r="C17" s="10">
        <v>45256310</v>
      </c>
      <c r="D17" s="10">
        <v>12005686</v>
      </c>
      <c r="E17" s="10">
        <v>2890257.2710500001</v>
      </c>
      <c r="F17" s="10">
        <v>9115428.3699999992</v>
      </c>
      <c r="G17" s="10">
        <v>4619603</v>
      </c>
      <c r="H17" s="10">
        <v>177100</v>
      </c>
      <c r="I17" s="10">
        <v>786174.78799999994</v>
      </c>
      <c r="J17" s="10">
        <v>3196245</v>
      </c>
      <c r="K17" s="10">
        <v>460083.42286786315</v>
      </c>
      <c r="L17" s="10">
        <v>0</v>
      </c>
      <c r="M17" s="10">
        <v>61881599</v>
      </c>
      <c r="N17" s="10">
        <v>11757504</v>
      </c>
      <c r="O17" s="10">
        <v>73639103</v>
      </c>
      <c r="P17" s="11">
        <v>70.8</v>
      </c>
      <c r="Q17" s="11">
        <v>248</v>
      </c>
      <c r="R17" s="11">
        <v>24.73</v>
      </c>
      <c r="S17" s="11">
        <v>118.6</v>
      </c>
      <c r="T17" s="11">
        <f>+tbl_base_2024[[#This Row],[Ton_Cenizas]]+tbl_base_2024[[#This Row],[Ton_Escoria]]+tbl_base_2024[[#This Row],[Ton_Corteza_G3]]+tbl_base_2024[[#This Row],[Ton_RAD]]</f>
        <v>462.13</v>
      </c>
    </row>
    <row r="18" spans="1:20">
      <c r="A18" t="s">
        <v>19</v>
      </c>
      <c r="B18" s="4">
        <v>45512</v>
      </c>
      <c r="C18" s="10">
        <v>45257757</v>
      </c>
      <c r="D18" s="10">
        <v>9561791</v>
      </c>
      <c r="E18" s="10">
        <v>1845549.6056400002</v>
      </c>
      <c r="F18" s="10">
        <v>7716241.4400000004</v>
      </c>
      <c r="G18" s="10">
        <v>2885546</v>
      </c>
      <c r="H18" s="10">
        <v>177100</v>
      </c>
      <c r="I18" s="10">
        <v>186601.31400000001</v>
      </c>
      <c r="J18" s="10">
        <v>2046596</v>
      </c>
      <c r="K18" s="10">
        <v>475248.67668998684</v>
      </c>
      <c r="L18" s="10">
        <v>0</v>
      </c>
      <c r="M18" s="10">
        <v>57705094</v>
      </c>
      <c r="N18" s="10">
        <v>10963968</v>
      </c>
      <c r="O18" s="10">
        <v>68669061</v>
      </c>
      <c r="P18" s="11">
        <v>57.2</v>
      </c>
      <c r="Q18" s="11">
        <v>234</v>
      </c>
      <c r="R18" s="11">
        <v>14.84</v>
      </c>
      <c r="S18" s="11">
        <v>57.2</v>
      </c>
      <c r="T18" s="11">
        <f>+tbl_base_2024[[#This Row],[Ton_Cenizas]]+tbl_base_2024[[#This Row],[Ton_Escoria]]+tbl_base_2024[[#This Row],[Ton_Corteza_G3]]+tbl_base_2024[[#This Row],[Ton_RAD]]</f>
        <v>363.24</v>
      </c>
    </row>
    <row r="19" spans="1:20">
      <c r="A19" t="s">
        <v>20</v>
      </c>
      <c r="B19" s="4">
        <v>45544</v>
      </c>
      <c r="C19" s="10">
        <v>45257757</v>
      </c>
      <c r="D19" s="10">
        <v>7158721</v>
      </c>
      <c r="E19" s="10">
        <v>2618084</v>
      </c>
      <c r="F19" s="10">
        <v>4540586.9000000004</v>
      </c>
      <c r="G19" s="10">
        <v>4431975</v>
      </c>
      <c r="H19" s="10">
        <v>177100</v>
      </c>
      <c r="I19" s="10">
        <v>102584.284</v>
      </c>
      <c r="J19" s="10">
        <v>3664682</v>
      </c>
      <c r="K19" s="10">
        <v>487608.33187236066</v>
      </c>
      <c r="L19" s="10">
        <v>0</v>
      </c>
      <c r="M19" s="10">
        <v>58263101</v>
      </c>
      <c r="N19" s="10">
        <v>11069989</v>
      </c>
      <c r="O19" s="10">
        <v>69333090</v>
      </c>
      <c r="P19" s="11">
        <v>75.099999999999994</v>
      </c>
      <c r="Q19" s="11">
        <v>111.57</v>
      </c>
      <c r="R19" s="11">
        <v>7.75</v>
      </c>
      <c r="S19" s="11">
        <v>53.22</v>
      </c>
      <c r="T19" s="11">
        <f>+tbl_base_2024[[#This Row],[Ton_Cenizas]]+tbl_base_2024[[#This Row],[Ton_Escoria]]+tbl_base_2024[[#This Row],[Ton_Corteza_G3]]+tbl_base_2024[[#This Row],[Ton_RAD]]</f>
        <v>247.64</v>
      </c>
    </row>
    <row r="20" spans="1:20">
      <c r="A20" t="s">
        <v>21</v>
      </c>
      <c r="B20" s="4">
        <v>45575</v>
      </c>
      <c r="C20" s="10">
        <v>46067870</v>
      </c>
      <c r="D20" s="10">
        <v>8955877</v>
      </c>
      <c r="E20" s="10">
        <v>4646025.0999999996</v>
      </c>
      <c r="F20" s="10">
        <v>4309851.8500000006</v>
      </c>
      <c r="G20" s="10">
        <v>9243188</v>
      </c>
      <c r="H20" s="10">
        <v>177100</v>
      </c>
      <c r="I20" s="10">
        <v>562431.32900000003</v>
      </c>
      <c r="J20" s="10">
        <v>5489375</v>
      </c>
      <c r="K20" s="10">
        <v>504859.06143909856</v>
      </c>
      <c r="L20" s="10">
        <v>2509422.8923076922</v>
      </c>
      <c r="M20" s="10">
        <v>64266935</v>
      </c>
      <c r="N20" s="10">
        <v>12210718</v>
      </c>
      <c r="O20" s="10">
        <v>76477653</v>
      </c>
      <c r="P20" s="11">
        <v>89.7</v>
      </c>
      <c r="Q20" s="11">
        <v>113.5</v>
      </c>
      <c r="R20" s="11">
        <v>10.75</v>
      </c>
      <c r="S20" s="11">
        <v>72.98</v>
      </c>
      <c r="T20" s="11">
        <f>+tbl_base_2024[[#This Row],[Ton_Cenizas]]+tbl_base_2024[[#This Row],[Ton_Escoria]]+tbl_base_2024[[#This Row],[Ton_Corteza_G3]]+tbl_base_2024[[#This Row],[Ton_RAD]]</f>
        <v>286.93</v>
      </c>
    </row>
    <row r="21" spans="1:20">
      <c r="A21" t="s">
        <v>22</v>
      </c>
      <c r="B21" s="4">
        <v>45607</v>
      </c>
      <c r="C21" s="10">
        <v>46067870</v>
      </c>
      <c r="D21" s="10">
        <v>9624302</v>
      </c>
      <c r="E21" s="10">
        <v>4729971.8</v>
      </c>
      <c r="F21" s="10">
        <v>4894329.9000000004</v>
      </c>
      <c r="G21" s="10">
        <v>7262723</v>
      </c>
      <c r="H21" s="10">
        <v>177100</v>
      </c>
      <c r="I21" s="10">
        <v>873912.78</v>
      </c>
      <c r="J21" s="10">
        <v>4185793</v>
      </c>
      <c r="K21" s="10">
        <v>509729.08453979722</v>
      </c>
      <c r="L21" s="10">
        <v>1516188.2999999998</v>
      </c>
      <c r="M21" s="10">
        <v>62954894</v>
      </c>
      <c r="N21" s="10">
        <v>11961430</v>
      </c>
      <c r="O21" s="10">
        <v>74916324</v>
      </c>
      <c r="P21" s="11">
        <v>52.6</v>
      </c>
      <c r="Q21" s="11">
        <v>173.8</v>
      </c>
      <c r="R21" s="11">
        <v>7.4</v>
      </c>
      <c r="S21" s="11">
        <v>64.94</v>
      </c>
      <c r="T21" s="11">
        <f>+tbl_base_2024[[#This Row],[Ton_Cenizas]]+tbl_base_2024[[#This Row],[Ton_Escoria]]+tbl_base_2024[[#This Row],[Ton_Corteza_G3]]+tbl_base_2024[[#This Row],[Ton_RAD]]</f>
        <v>298.74</v>
      </c>
    </row>
    <row r="22" spans="1:20">
      <c r="A22" t="s">
        <v>23</v>
      </c>
      <c r="B22" s="4">
        <v>45638</v>
      </c>
      <c r="C22" s="10">
        <v>46067870</v>
      </c>
      <c r="D22" s="10">
        <v>10713646</v>
      </c>
      <c r="E22" s="10">
        <v>5377343</v>
      </c>
      <c r="F22" s="10">
        <v>5336302.59</v>
      </c>
      <c r="G22" s="10">
        <v>22213163</v>
      </c>
      <c r="H22" s="10">
        <v>177100</v>
      </c>
      <c r="I22" s="10">
        <v>1349818</v>
      </c>
      <c r="J22" s="10">
        <v>2849467</v>
      </c>
      <c r="K22" s="10">
        <v>459405.51249924401</v>
      </c>
      <c r="L22" s="10">
        <v>17377372.279171936</v>
      </c>
      <c r="M22" s="10">
        <v>78994678</v>
      </c>
      <c r="N22" s="10">
        <v>15008989</v>
      </c>
      <c r="O22" s="10">
        <v>94003667</v>
      </c>
      <c r="P22" s="11">
        <v>70.77</v>
      </c>
      <c r="Q22" s="11">
        <v>184.28</v>
      </c>
      <c r="R22" s="11">
        <v>13.45</v>
      </c>
      <c r="S22" s="11">
        <v>69.25</v>
      </c>
      <c r="T22" s="11">
        <f>+tbl_base_2024[[#This Row],[Ton_Cenizas]]+tbl_base_2024[[#This Row],[Ton_Escoria]]+tbl_base_2024[[#This Row],[Ton_Corteza_G3]]+tbl_base_2024[[#This Row],[Ton_RAD]]</f>
        <v>337.75</v>
      </c>
    </row>
    <row r="23" spans="1:20">
      <c r="A23" t="s">
        <v>12</v>
      </c>
      <c r="B23" s="4">
        <v>45658</v>
      </c>
      <c r="C23" s="6">
        <v>46067870</v>
      </c>
      <c r="D23" s="6">
        <v>10393330</v>
      </c>
      <c r="E23" s="6">
        <v>5298481.2</v>
      </c>
      <c r="F23" s="6">
        <v>5094849.0599999996</v>
      </c>
      <c r="G23" s="6">
        <v>19787100</v>
      </c>
      <c r="H23" s="10">
        <v>177100</v>
      </c>
      <c r="I23" s="6">
        <v>1208914</v>
      </c>
      <c r="J23" s="6">
        <v>1178588</v>
      </c>
      <c r="K23" s="6">
        <v>454129.65414015378</v>
      </c>
      <c r="L23" s="6">
        <v>16768368.06276273</v>
      </c>
      <c r="M23" s="6">
        <v>76248300</v>
      </c>
      <c r="N23" s="6">
        <v>14487177</v>
      </c>
      <c r="O23" s="6">
        <v>90735477</v>
      </c>
      <c r="P23" s="11">
        <v>72.63</v>
      </c>
      <c r="Q23" s="11">
        <v>160.76</v>
      </c>
      <c r="R23" s="11">
        <v>14.85</v>
      </c>
      <c r="S23" s="11">
        <v>74.61</v>
      </c>
      <c r="T23" s="11">
        <f>+tbl_base_2024[[#This Row],[Ton_Cenizas]]+tbl_base_2024[[#This Row],[Ton_Escoria]]+tbl_base_2024[[#This Row],[Ton_Corteza_G3]]+tbl_base_2024[[#This Row],[Ton_RAD]]</f>
        <v>322.84999999999997</v>
      </c>
    </row>
    <row r="24" spans="1:20">
      <c r="A24" t="s">
        <v>13</v>
      </c>
      <c r="B24" s="4">
        <v>45690</v>
      </c>
      <c r="C24" s="6">
        <v>46067870</v>
      </c>
      <c r="D24" s="6">
        <v>9670191</v>
      </c>
      <c r="E24" s="6">
        <v>4503967.2</v>
      </c>
      <c r="F24" s="6">
        <v>5166224.16</v>
      </c>
      <c r="G24" s="6">
        <v>18874269</v>
      </c>
      <c r="H24" s="10">
        <v>177100</v>
      </c>
      <c r="I24" s="6">
        <v>851948</v>
      </c>
      <c r="J24" s="6">
        <v>1819631</v>
      </c>
      <c r="K24" s="6">
        <v>469957.22921742452</v>
      </c>
      <c r="L24" s="6">
        <v>15555632.34687895</v>
      </c>
      <c r="M24" s="6">
        <v>74612330</v>
      </c>
      <c r="N24" s="6">
        <v>14176343</v>
      </c>
      <c r="O24" s="6">
        <v>88788672</v>
      </c>
      <c r="P24" s="11">
        <v>13.93</v>
      </c>
      <c r="Q24" s="11">
        <v>201.05</v>
      </c>
      <c r="R24" s="11">
        <v>0</v>
      </c>
      <c r="S24" s="11">
        <v>73.86</v>
      </c>
      <c r="T24" s="11">
        <f>+tbl_base_2024[[#This Row],[Ton_Cenizas]]+tbl_base_2024[[#This Row],[Ton_Escoria]]+tbl_base_2024[[#This Row],[Ton_Corteza_G3]]+tbl_base_2024[[#This Row],[Ton_RAD]]</f>
        <v>288.84000000000003</v>
      </c>
    </row>
    <row r="25" spans="1:20">
      <c r="A25" t="s">
        <v>14</v>
      </c>
      <c r="B25" s="4">
        <v>45719</v>
      </c>
      <c r="C25" s="6">
        <v>46067870</v>
      </c>
      <c r="D25" s="6">
        <v>10765580</v>
      </c>
      <c r="E25" s="6">
        <v>5363793.5</v>
      </c>
      <c r="F25" s="6">
        <v>5401786.4500000002</v>
      </c>
      <c r="G25" s="6">
        <v>21049935</v>
      </c>
      <c r="H25" s="10">
        <v>177100</v>
      </c>
      <c r="I25" s="6">
        <v>2714231</v>
      </c>
      <c r="J25" s="6">
        <v>3129817</v>
      </c>
      <c r="K25" s="6">
        <v>472798.07602616545</v>
      </c>
      <c r="L25" s="6">
        <v>14555988.50870895</v>
      </c>
      <c r="M25" s="6">
        <v>77883385</v>
      </c>
      <c r="N25" s="6">
        <v>14797843</v>
      </c>
      <c r="O25" s="6">
        <v>92681228</v>
      </c>
      <c r="P25" s="11">
        <v>55.1</v>
      </c>
      <c r="Q25" s="11">
        <v>211.33</v>
      </c>
      <c r="R25" s="11">
        <v>0</v>
      </c>
      <c r="S25" s="11">
        <v>65.95</v>
      </c>
      <c r="T25" s="11">
        <f>+tbl_base_2024[[#This Row],[Ton_Cenizas]]+tbl_base_2024[[#This Row],[Ton_Escoria]]+tbl_base_2024[[#This Row],[Ton_Corteza_G3]]+tbl_base_2024[[#This Row],[Ton_RAD]]</f>
        <v>332.38000000000005</v>
      </c>
    </row>
    <row r="26" spans="1:20">
      <c r="A26" t="s">
        <v>15</v>
      </c>
      <c r="B26" s="4">
        <v>45751</v>
      </c>
      <c r="C26" s="6">
        <v>47459120</v>
      </c>
      <c r="D26" s="6">
        <v>12344899.09</v>
      </c>
      <c r="E26" s="6">
        <v>6210642.7999999998</v>
      </c>
      <c r="F26" s="6">
        <v>6134256.29</v>
      </c>
      <c r="G26" s="6">
        <v>10248126</v>
      </c>
      <c r="H26" s="10">
        <v>177100</v>
      </c>
      <c r="I26" s="6">
        <v>84158</v>
      </c>
      <c r="J26" s="6">
        <v>3552931</v>
      </c>
      <c r="K26" s="6">
        <v>489585.12682132551</v>
      </c>
      <c r="L26" s="6">
        <v>5944351.7543509668</v>
      </c>
      <c r="M26" s="6">
        <v>69857740</v>
      </c>
      <c r="N26" s="6">
        <v>13272971</v>
      </c>
      <c r="O26" s="6">
        <v>83130710</v>
      </c>
      <c r="P26" s="9">
        <v>79.790000000000006</v>
      </c>
      <c r="Q26" s="9">
        <v>209.46</v>
      </c>
      <c r="R26" s="9">
        <v>7.79</v>
      </c>
      <c r="S26" s="9">
        <v>77.05</v>
      </c>
      <c r="T26" s="11">
        <f>+tbl_base_2024[[#This Row],[Ton_Cenizas]]+tbl_base_2024[[#This Row],[Ton_Escoria]]+tbl_base_2024[[#This Row],[Ton_Corteza_G3]]+tbl_base_2024[[#This Row],[Ton_RAD]]</f>
        <v>374.09000000000003</v>
      </c>
    </row>
    <row r="27" spans="1:20">
      <c r="A27" t="s">
        <v>16</v>
      </c>
      <c r="B27" s="4">
        <v>45782</v>
      </c>
      <c r="C27" s="6">
        <v>47459120</v>
      </c>
      <c r="D27" s="6">
        <v>11554657</v>
      </c>
      <c r="E27" s="6">
        <v>5840940.7999999998</v>
      </c>
      <c r="F27" s="6">
        <v>5713716.6799999997</v>
      </c>
      <c r="G27" s="6">
        <v>15450800</v>
      </c>
      <c r="H27" s="10">
        <v>177100</v>
      </c>
      <c r="I27" s="6">
        <v>634098</v>
      </c>
      <c r="J27" s="6">
        <v>3285869</v>
      </c>
      <c r="K27" s="6">
        <v>479132.83974145097</v>
      </c>
      <c r="L27" s="6">
        <v>10874600.438000001</v>
      </c>
      <c r="M27" s="6">
        <v>74464577</v>
      </c>
      <c r="N27" s="6">
        <v>14148270</v>
      </c>
      <c r="O27" s="6">
        <v>88612846</v>
      </c>
      <c r="P27" s="8">
        <v>77.819999999999993</v>
      </c>
      <c r="Q27" s="8">
        <v>211.52</v>
      </c>
      <c r="R27" s="8">
        <v>0</v>
      </c>
      <c r="S27" s="8">
        <v>67.239999999999995</v>
      </c>
      <c r="T27" s="11">
        <f>+tbl_base_2024[[#This Row],[Ton_Cenizas]]+tbl_base_2024[[#This Row],[Ton_Escoria]]+tbl_base_2024[[#This Row],[Ton_Corteza_G3]]+tbl_base_2024[[#This Row],[Ton_RAD]]</f>
        <v>356.58</v>
      </c>
    </row>
    <row r="28" spans="1:20">
      <c r="A28" t="s">
        <v>17</v>
      </c>
      <c r="B28" s="4">
        <v>45814</v>
      </c>
      <c r="C28" s="6">
        <v>47459120</v>
      </c>
      <c r="D28" s="6">
        <v>13472517</v>
      </c>
      <c r="E28" s="6">
        <v>7191454.0999999996</v>
      </c>
      <c r="F28" s="6">
        <v>6281063.04</v>
      </c>
      <c r="G28" s="6">
        <v>4159958</v>
      </c>
      <c r="H28" s="10">
        <v>177100</v>
      </c>
      <c r="I28" s="6">
        <v>240246</v>
      </c>
      <c r="J28" s="6">
        <v>3265570</v>
      </c>
      <c r="K28" s="6">
        <v>477042.38232547604</v>
      </c>
      <c r="L28" s="6">
        <v>0</v>
      </c>
      <c r="M28" s="6">
        <v>65091595</v>
      </c>
      <c r="N28" s="6">
        <v>12367403</v>
      </c>
      <c r="O28" s="6">
        <v>77458998</v>
      </c>
      <c r="P28" s="11">
        <v>136.69999999999999</v>
      </c>
      <c r="Q28" s="11">
        <v>183.68</v>
      </c>
      <c r="R28" s="11">
        <v>25.64</v>
      </c>
      <c r="S28" s="11">
        <v>80.69</v>
      </c>
      <c r="T28" s="11">
        <f>+tbl_base_2024[[#This Row],[Ton_Cenizas]]+tbl_base_2024[[#This Row],[Ton_Escoria]]+tbl_base_2024[[#This Row],[Ton_Corteza_G3]]+tbl_base_2024[[#This Row],[Ton_RAD]]</f>
        <v>426.71</v>
      </c>
    </row>
    <row r="29" spans="1:20">
      <c r="A29" t="s">
        <v>18</v>
      </c>
      <c r="B29" s="4">
        <v>45845</v>
      </c>
      <c r="C29" s="6">
        <v>47459120</v>
      </c>
      <c r="D29" s="6">
        <v>14730246</v>
      </c>
      <c r="E29" s="6">
        <v>7083542.2999999998</v>
      </c>
      <c r="F29" s="6">
        <v>7646703.3799999999</v>
      </c>
      <c r="G29" s="6">
        <v>5411723</v>
      </c>
      <c r="H29" s="10">
        <v>177100</v>
      </c>
      <c r="I29" s="6">
        <v>424520</v>
      </c>
      <c r="J29" s="6">
        <v>3813852</v>
      </c>
      <c r="K29" s="6">
        <v>441086.51477070746</v>
      </c>
      <c r="L29" s="6">
        <v>555164.4</v>
      </c>
      <c r="M29" s="6">
        <v>67601089</v>
      </c>
      <c r="N29" s="6">
        <v>12844207</v>
      </c>
      <c r="O29" s="6">
        <v>80445296</v>
      </c>
      <c r="P29" s="11">
        <v>58.32</v>
      </c>
      <c r="Q29" s="11">
        <v>276.49</v>
      </c>
      <c r="R29" s="11">
        <v>0</v>
      </c>
      <c r="S29" s="11">
        <v>108.49</v>
      </c>
      <c r="T29" s="11">
        <f>+tbl_base_2024[[#This Row],[Ton_Cenizas]]+tbl_base_2024[[#This Row],[Ton_Escoria]]+tbl_base_2024[[#This Row],[Ton_Corteza_G3]]+tbl_base_2024[[#This Row],[Ton_RAD]]</f>
        <v>443.3</v>
      </c>
    </row>
    <row r="30" spans="1:20">
      <c r="A30" t="s">
        <v>19</v>
      </c>
      <c r="B30" s="4">
        <v>45877</v>
      </c>
      <c r="C30" s="6">
        <v>47459120</v>
      </c>
      <c r="D30" s="6">
        <v>12238464</v>
      </c>
      <c r="E30" s="6">
        <v>5450438.8799999999</v>
      </c>
      <c r="F30" s="6">
        <v>6788025.0600000005</v>
      </c>
      <c r="G30" s="6">
        <v>7253428</v>
      </c>
      <c r="H30" s="10">
        <v>177100</v>
      </c>
      <c r="I30" s="6">
        <v>843388</v>
      </c>
      <c r="J30" s="6">
        <v>5782657</v>
      </c>
      <c r="K30" s="6">
        <v>450284.52740099706</v>
      </c>
      <c r="L30" s="6">
        <v>0</v>
      </c>
      <c r="M30" s="6">
        <v>66951012</v>
      </c>
      <c r="N30" s="6">
        <v>12720692</v>
      </c>
      <c r="O30" s="6">
        <v>79671704</v>
      </c>
      <c r="P30" s="11">
        <v>26.41</v>
      </c>
      <c r="Q30" s="11">
        <v>275.64</v>
      </c>
      <c r="R30" s="11">
        <v>6.92</v>
      </c>
      <c r="S30" s="11">
        <v>76.44</v>
      </c>
      <c r="T30" s="11">
        <f>+tbl_base_2024[[#This Row],[Ton_Cenizas]]+tbl_base_2024[[#This Row],[Ton_Escoria]]+tbl_base_2024[[#This Row],[Ton_Corteza_G3]]+tbl_base_2024[[#This Row],[Ton_RAD]]</f>
        <v>385.41</v>
      </c>
    </row>
    <row r="31" spans="1:20">
      <c r="A31" t="s">
        <v>20</v>
      </c>
      <c r="B31" s="4">
        <v>45909</v>
      </c>
      <c r="C31" s="6">
        <v>47459120</v>
      </c>
      <c r="D31" s="6">
        <v>11992597</v>
      </c>
      <c r="E31" s="6">
        <v>4917625</v>
      </c>
      <c r="F31" s="6">
        <v>7074972.0700000003</v>
      </c>
      <c r="G31" s="6">
        <v>7361420</v>
      </c>
      <c r="H31" s="10">
        <v>177100</v>
      </c>
      <c r="I31" s="6">
        <v>3146021</v>
      </c>
      <c r="J31" s="6">
        <v>3165677</v>
      </c>
      <c r="K31" s="6">
        <v>492093.67572049546</v>
      </c>
      <c r="L31" s="6">
        <v>380528</v>
      </c>
      <c r="M31" s="6">
        <v>66813137</v>
      </c>
      <c r="N31" s="6">
        <v>12694496</v>
      </c>
      <c r="O31" s="6">
        <v>79507633</v>
      </c>
      <c r="P31" s="11">
        <v>16.2</v>
      </c>
      <c r="Q31" s="11">
        <v>239</v>
      </c>
      <c r="R31" s="11">
        <v>15.61</v>
      </c>
      <c r="S31" s="11">
        <v>111.64</v>
      </c>
      <c r="T31" s="11">
        <f>+tbl_base_2024[[#This Row],[Ton_Cenizas]]+tbl_base_2024[[#This Row],[Ton_Escoria]]+tbl_base_2024[[#This Row],[Ton_Corteza_G3]]+tbl_base_2024[[#This Row],[Ton_RAD]]</f>
        <v>382.45</v>
      </c>
    </row>
    <row r="32" spans="1:20">
      <c r="A32" t="s">
        <v>21</v>
      </c>
      <c r="B32" s="4">
        <v>45940</v>
      </c>
      <c r="C32" s="6">
        <v>48095073</v>
      </c>
      <c r="D32" s="6">
        <v>12494607</v>
      </c>
      <c r="E32" s="6">
        <v>5429557.1600000001</v>
      </c>
      <c r="F32" s="6">
        <v>7065049.8499999996</v>
      </c>
      <c r="G32" s="6">
        <v>4425353</v>
      </c>
      <c r="H32" s="10">
        <v>177100</v>
      </c>
      <c r="I32" s="6">
        <v>748299</v>
      </c>
      <c r="J32" s="6">
        <v>2811266</v>
      </c>
      <c r="K32" s="6">
        <v>498687.73097515013</v>
      </c>
      <c r="L32" s="6">
        <v>190000</v>
      </c>
      <c r="M32" s="6">
        <v>65015033</v>
      </c>
      <c r="N32" s="6">
        <v>12352856</v>
      </c>
      <c r="O32" s="6">
        <v>77367889</v>
      </c>
      <c r="P32" s="11">
        <v>26.56</v>
      </c>
      <c r="Q32" s="11">
        <v>260.62</v>
      </c>
      <c r="R32" s="11">
        <v>10.64</v>
      </c>
      <c r="S32" s="11">
        <v>92.63</v>
      </c>
      <c r="T32" s="11">
        <f>+tbl_base_2024[[#This Row],[Ton_Cenizas]]+tbl_base_2024[[#This Row],[Ton_Escoria]]+tbl_base_2024[[#This Row],[Ton_Corteza_G3]]+tbl_base_2024[[#This Row],[Ton_RAD]]</f>
        <v>390.45</v>
      </c>
    </row>
    <row r="33" spans="1:20">
      <c r="A33" t="s">
        <v>22</v>
      </c>
      <c r="B33" s="4">
        <v>45972</v>
      </c>
      <c r="C33" s="6">
        <v>48095073</v>
      </c>
      <c r="D33" s="6">
        <v>11417132</v>
      </c>
      <c r="E33" s="6">
        <v>5321547.92</v>
      </c>
      <c r="F33" s="6">
        <v>6095583.9900000002</v>
      </c>
      <c r="G33" s="6">
        <v>4697102</v>
      </c>
      <c r="H33" s="10">
        <v>177100</v>
      </c>
      <c r="I33" s="6">
        <v>363809</v>
      </c>
      <c r="J33" s="6">
        <v>3492503</v>
      </c>
      <c r="K33" s="6">
        <v>473689.7903400322</v>
      </c>
      <c r="L33" s="6">
        <v>190000</v>
      </c>
      <c r="M33" s="6">
        <v>64209307</v>
      </c>
      <c r="N33" s="6">
        <v>12199768</v>
      </c>
      <c r="O33" s="6">
        <v>76409075</v>
      </c>
      <c r="P33" s="11">
        <v>30.79</v>
      </c>
      <c r="Q33" s="11">
        <v>201.95</v>
      </c>
      <c r="R33" s="11">
        <v>12.83</v>
      </c>
      <c r="S33" s="11">
        <v>88.66</v>
      </c>
      <c r="T33" s="11">
        <f>+tbl_base_2024[[#This Row],[Ton_Cenizas]]+tbl_base_2024[[#This Row],[Ton_Escoria]]+tbl_base_2024[[#This Row],[Ton_Corteza_G3]]+tbl_base_2024[[#This Row],[Ton_RAD]]</f>
        <v>334.23</v>
      </c>
    </row>
    <row r="34" spans="1:20">
      <c r="A34" t="s">
        <v>23</v>
      </c>
      <c r="B34" s="4">
        <v>46003</v>
      </c>
      <c r="C34" s="6">
        <v>48095073</v>
      </c>
      <c r="D34" s="6">
        <v>9603462</v>
      </c>
      <c r="E34" s="6">
        <v>4396089</v>
      </c>
      <c r="F34" s="6">
        <v>5207372.97</v>
      </c>
      <c r="G34" s="6">
        <v>3804350</v>
      </c>
      <c r="H34" s="10">
        <v>177100</v>
      </c>
      <c r="I34" s="6">
        <v>955494</v>
      </c>
      <c r="J34" s="6">
        <v>2025438</v>
      </c>
      <c r="K34" s="6">
        <v>456318.34006817051</v>
      </c>
      <c r="L34" s="6">
        <v>190000</v>
      </c>
      <c r="M34" s="6">
        <v>61502885</v>
      </c>
      <c r="N34" s="6">
        <v>11685548</v>
      </c>
      <c r="O34" s="6">
        <v>73188433</v>
      </c>
      <c r="P34" s="11">
        <v>15.82</v>
      </c>
      <c r="Q34" s="11">
        <v>187.56</v>
      </c>
      <c r="R34" s="11">
        <v>0</v>
      </c>
      <c r="S34" s="11">
        <v>75.510000000000005</v>
      </c>
      <c r="T34" s="11">
        <f>+tbl_base_2024[[#This Row],[Ton_Cenizas]]+tbl_base_2024[[#This Row],[Ton_Escoria]]+tbl_base_2024[[#This Row],[Ton_Corteza_G3]]+tbl_base_2024[[#This Row],[Ton_RAD]]</f>
        <v>278.89</v>
      </c>
    </row>
    <row r="35" spans="1:20">
      <c r="A35" t="s">
        <v>12</v>
      </c>
      <c r="B35" s="4">
        <v>46023</v>
      </c>
      <c r="C35" s="10">
        <v>48095073</v>
      </c>
      <c r="D35" s="10">
        <v>7424365</v>
      </c>
      <c r="E35" s="10">
        <v>3361060.36</v>
      </c>
      <c r="F35" s="10">
        <v>4063304.86</v>
      </c>
      <c r="G35" s="10">
        <v>5155303</v>
      </c>
      <c r="H35" s="10">
        <v>177100</v>
      </c>
      <c r="I35" s="10">
        <v>774740</v>
      </c>
      <c r="J35" s="10">
        <v>2730879</v>
      </c>
      <c r="K35" s="10">
        <v>448691.8497049142</v>
      </c>
      <c r="L35" s="10">
        <v>1023892</v>
      </c>
      <c r="M35" s="10">
        <f>+tbl_base_2024[[#This Row],[Adicionales]]+tbl_base_2024[[#This Row],[Transporte_residuos]]+tbl_base_2024[[#This Row],[Servicio_fijo]]</f>
        <v>60674741</v>
      </c>
      <c r="N35" s="10">
        <v>11531442</v>
      </c>
      <c r="O35" s="10">
        <v>72223243</v>
      </c>
      <c r="P35" s="11">
        <v>8.5299999999999994</v>
      </c>
      <c r="Q35" s="11">
        <v>158.06</v>
      </c>
      <c r="R35" s="11">
        <v>0</v>
      </c>
      <c r="S35" s="11">
        <v>47.67</v>
      </c>
      <c r="T35" s="11">
        <f>+tbl_base_2024[[#This Row],[Ton_Cenizas]]+tbl_base_2024[[#This Row],[Ton_Escoria]]+tbl_base_2024[[#This Row],[Ton_Corteza_G3]]+tbl_base_2024[[#This Row],[Ton_RAD]]</f>
        <v>214.26000000000002</v>
      </c>
    </row>
    <row r="36" spans="1:20">
      <c r="A36" t="s">
        <v>13</v>
      </c>
      <c r="B36" s="4">
        <v>46055</v>
      </c>
      <c r="C36" s="10">
        <v>48095073</v>
      </c>
      <c r="D36" s="10">
        <v>7861886</v>
      </c>
      <c r="E36" s="10">
        <v>3600625.24</v>
      </c>
      <c r="F36" s="10">
        <v>4261261.08</v>
      </c>
      <c r="G36" s="10">
        <v>2410386</v>
      </c>
      <c r="H36" s="10">
        <v>177100</v>
      </c>
      <c r="I36" s="10">
        <v>714585.85</v>
      </c>
      <c r="J36" s="10">
        <v>707535.2</v>
      </c>
      <c r="K36" s="10">
        <v>468181.76952212484</v>
      </c>
      <c r="L36" s="10">
        <v>342983.35</v>
      </c>
      <c r="M36" s="10">
        <f>+tbl_base_2024[[#This Row],[Adicionales]]+tbl_base_2024[[#This Row],[Transporte_residuos]]+tbl_base_2024[[#This Row],[Servicio_fijo]]</f>
        <v>58367345</v>
      </c>
      <c r="N36" s="10">
        <v>11089796</v>
      </c>
      <c r="O36" s="10">
        <v>69457141</v>
      </c>
      <c r="P36" s="11">
        <v>10.34</v>
      </c>
      <c r="Q36" s="11">
        <v>172.48</v>
      </c>
      <c r="R36" s="11">
        <v>0</v>
      </c>
      <c r="S36" s="11">
        <v>45.03</v>
      </c>
      <c r="T36" s="11">
        <f>+tbl_base_2024[[#This Row],[Ton_Cenizas]]+tbl_base_2024[[#This Row],[Ton_Escoria]]+tbl_base_2024[[#This Row],[Ton_Corteza_G3]]+tbl_base_2024[[#This Row],[Ton_RAD]]</f>
        <v>227.85</v>
      </c>
    </row>
    <row r="37" spans="1:20">
      <c r="A37" t="s">
        <v>14</v>
      </c>
      <c r="B37" s="4">
        <v>46084</v>
      </c>
      <c r="C37" s="10">
        <v>48095073</v>
      </c>
      <c r="D37" s="10">
        <v>7812987</v>
      </c>
      <c r="E37" s="10">
        <v>3446850.2800000003</v>
      </c>
      <c r="F37" s="10">
        <v>4366136.2699999996</v>
      </c>
      <c r="G37" s="10">
        <v>6594872</v>
      </c>
      <c r="H37" s="10">
        <v>177100</v>
      </c>
      <c r="I37" s="10">
        <v>1193815.0115</v>
      </c>
      <c r="J37" s="10">
        <v>336638.35</v>
      </c>
      <c r="K37" s="10">
        <v>458436.80961351952</v>
      </c>
      <c r="L37" s="10">
        <v>4428882.2</v>
      </c>
      <c r="M37" s="10">
        <f>+tbl_base_2024[[#This Row],[Adicionales]]+tbl_base_2024[[#This Row],[Transporte_residuos]]+tbl_base_2024[[#This Row],[Servicio_fijo]]</f>
        <v>62502932</v>
      </c>
      <c r="N37" s="10">
        <v>11875557</v>
      </c>
      <c r="O37" s="10">
        <v>74378489</v>
      </c>
      <c r="P37" s="11">
        <v>9.06</v>
      </c>
      <c r="Q37" s="11">
        <v>165.36</v>
      </c>
      <c r="R37" s="11">
        <v>8.5500000000000007</v>
      </c>
      <c r="S37" s="11">
        <v>49.36</v>
      </c>
      <c r="T37" s="11">
        <f>+tbl_base_2024[[#This Row],[Ton_Cenizas]]+tbl_base_2024[[#This Row],[Ton_Escoria]]+tbl_base_2024[[#This Row],[Ton_Corteza_G3]]+tbl_base_2024[[#This Row],[Ton_RAD]]</f>
        <v>232.33</v>
      </c>
    </row>
    <row r="38" spans="1:20">
      <c r="A38" t="s">
        <v>15</v>
      </c>
      <c r="B38" s="4">
        <v>46116</v>
      </c>
      <c r="C38" s="10">
        <v>48095073</v>
      </c>
      <c r="D38" s="10">
        <v>6331765</v>
      </c>
      <c r="E38" s="10">
        <v>2396435.7199999997</v>
      </c>
      <c r="F38" s="10">
        <v>3935329.57</v>
      </c>
      <c r="G38" s="10">
        <v>5618679</v>
      </c>
      <c r="H38" s="10">
        <v>177100</v>
      </c>
      <c r="I38" s="10">
        <v>651176.86250000005</v>
      </c>
      <c r="J38" s="10">
        <v>468538.75</v>
      </c>
      <c r="K38" s="10">
        <v>474113.48424910195</v>
      </c>
      <c r="L38" s="10">
        <v>3847750</v>
      </c>
      <c r="M38" s="10">
        <f>+tbl_base_2024[[#This Row],[Adicionales]]+tbl_base_2024[[#This Row],[Transporte_residuos]]+tbl_base_2024[[#This Row],[Servicio_fijo]]</f>
        <v>60045517</v>
      </c>
      <c r="N38" s="10">
        <v>11408648</v>
      </c>
      <c r="O38" s="10">
        <v>71454166</v>
      </c>
      <c r="P38" s="11">
        <v>35.28</v>
      </c>
      <c r="Q38" s="11">
        <v>194.03</v>
      </c>
      <c r="R38" s="11">
        <v>13.01</v>
      </c>
      <c r="S38" s="11">
        <v>10.83</v>
      </c>
      <c r="T38" s="11">
        <f>+tbl_base_2024[[#This Row],[Ton_Cenizas]]+tbl_base_2024[[#This Row],[Ton_Escoria]]+tbl_base_2024[[#This Row],[Ton_Corteza_G3]]+tbl_base_2024[[#This Row],[Ton_RAD]]</f>
        <v>253.15</v>
      </c>
    </row>
    <row r="39" spans="1:20">
      <c r="A39" t="s">
        <v>16</v>
      </c>
      <c r="B39" s="4">
        <v>46147</v>
      </c>
      <c r="C39" s="10">
        <v>48095073</v>
      </c>
      <c r="D39" s="10">
        <v>7529193</v>
      </c>
      <c r="E39" s="10">
        <v>1292433</v>
      </c>
      <c r="F39" s="10">
        <v>6236760</v>
      </c>
      <c r="G39" s="10">
        <v>5055755</v>
      </c>
      <c r="H39" s="10">
        <v>177100</v>
      </c>
      <c r="I39" s="10">
        <v>414339.56049999996</v>
      </c>
      <c r="J39" s="10">
        <v>172534</v>
      </c>
      <c r="K39" s="10">
        <v>444031.21670514648</v>
      </c>
      <c r="L39" s="10">
        <v>3847750</v>
      </c>
      <c r="M39" s="10">
        <f>+tbl_base_2024[[#This Row],[Adicionales]]+tbl_base_2024[[#This Row],[Transporte_residuos]]+tbl_base_2024[[#This Row],[Servicio_fijo]]</f>
        <v>60680021</v>
      </c>
      <c r="N39" s="10">
        <v>11529204</v>
      </c>
      <c r="O39" s="10">
        <v>72209224</v>
      </c>
      <c r="P39" s="11">
        <v>13.52</v>
      </c>
      <c r="Q39" s="11">
        <v>318.51</v>
      </c>
      <c r="R39" s="11">
        <v>0</v>
      </c>
      <c r="S39" s="11">
        <v>64.16</v>
      </c>
      <c r="T39" s="11">
        <f>+tbl_base_2024[[#This Row],[Ton_Cenizas]]+tbl_base_2024[[#This Row],[Ton_Escoria]]+tbl_base_2024[[#This Row],[Ton_Corteza_G3]]+tbl_base_2024[[#This Row],[Ton_RAD]]</f>
        <v>396.18999999999994</v>
      </c>
    </row>
    <row r="40" spans="1:20">
      <c r="A40" t="s">
        <v>17</v>
      </c>
      <c r="B40" s="4">
        <v>46179</v>
      </c>
      <c r="C40" s="10">
        <v>48095073</v>
      </c>
      <c r="D40" s="10">
        <v>12711353</v>
      </c>
      <c r="E40" s="10">
        <v>2660050</v>
      </c>
      <c r="F40" s="10">
        <v>10051303</v>
      </c>
      <c r="G40" s="10">
        <v>6959792</v>
      </c>
      <c r="H40" s="10">
        <v>177100</v>
      </c>
      <c r="I40" s="10">
        <v>697637.87450000003</v>
      </c>
      <c r="J40" s="10">
        <v>1787340.925</v>
      </c>
      <c r="K40" s="10">
        <v>449962.93143212359</v>
      </c>
      <c r="L40" s="10">
        <v>3847750</v>
      </c>
      <c r="M40" s="10">
        <f>+tbl_base_2024[[#This Row],[Adicionales]]+tbl_base_2024[[#This Row],[Transporte_residuos]]+tbl_base_2024[[#This Row],[Servicio_fijo]]</f>
        <v>67766218</v>
      </c>
      <c r="N40" s="10">
        <v>12875581</v>
      </c>
      <c r="O40" s="10">
        <v>80641799</v>
      </c>
      <c r="P40" s="11">
        <v>19.63</v>
      </c>
      <c r="Q40" s="11">
        <v>458.03</v>
      </c>
      <c r="R40" s="11">
        <v>29.73</v>
      </c>
      <c r="S40" s="11">
        <v>113.95</v>
      </c>
      <c r="T40" s="11">
        <f>+tbl_base_2024[[#This Row],[Ton_Cenizas]]+tbl_base_2024[[#This Row],[Ton_Escoria]]+tbl_base_2024[[#This Row],[Ton_Corteza_G3]]+tbl_base_2024[[#This Row],[Ton_RAD]]</f>
        <v>621.34</v>
      </c>
    </row>
    <row r="41" spans="1:20">
      <c r="C41" s="10">
        <f>SUBTOTAL(109,tbl_base_2024[Servicio_fijo])</f>
        <v>1791078011</v>
      </c>
      <c r="D41" s="10">
        <f>SUBTOTAL(109,tbl_base_2024[Transporte_residuos])</f>
        <v>341402493.09000003</v>
      </c>
      <c r="E41" s="10">
        <f>SUBTOTAL(109,tbl_base_2024[Disposicion])</f>
        <v>125508317.67437997</v>
      </c>
      <c r="F41" s="10">
        <f>SUBTOTAL(109,tbl_base_2024[Traslado])</f>
        <v>215894123.57000005</v>
      </c>
      <c r="G41" s="10">
        <f>SUBTOTAL(109,tbl_base_2024[Adicionales])</f>
        <v>310014072</v>
      </c>
      <c r="H41" s="10"/>
      <c r="I41" s="10"/>
      <c r="J41" s="10"/>
      <c r="K41" s="10"/>
      <c r="L41" s="10"/>
      <c r="M41" s="10">
        <f>SUBTOTAL(109,tbl_base_2024[Total_neto])</f>
        <v>2443714817</v>
      </c>
      <c r="N41" s="10">
        <f>SUBTOTAL(109,tbl_base_2024[IVA_19])</f>
        <v>464309058</v>
      </c>
      <c r="O41" s="10">
        <f>SUBTOTAL(109,tbl_base_2024[Valor_total])</f>
        <v>2908040929</v>
      </c>
      <c r="P41" s="7">
        <f>SUBTOTAL(109,tbl_base_2024[Ton_RAD])</f>
        <v>2390</v>
      </c>
      <c r="Q41" s="7">
        <f>SUBTOTAL(109,tbl_base_2024[Ton_Corteza_G3])</f>
        <v>8086.4600000000009</v>
      </c>
      <c r="R41" s="7">
        <f>SUBTOTAL(109,tbl_base_2024[Ton_Escoria])</f>
        <v>434.94</v>
      </c>
      <c r="S41" s="7">
        <f>SUBTOTAL(109,tbl_base_2024[Ton_Cenizas])</f>
        <v>3049.35</v>
      </c>
      <c r="T41" s="10">
        <f>SUBTOTAL(109,tbl_base_2024[Ton_Total])</f>
        <v>13960.749999999998</v>
      </c>
    </row>
    <row r="42" spans="1:20">
      <c r="C42" s="2"/>
      <c r="D42" s="2"/>
      <c r="E42" s="2"/>
      <c r="F42" s="2"/>
      <c r="G42" s="2"/>
      <c r="H42" s="2"/>
      <c r="I42" s="2"/>
      <c r="J42" s="2"/>
      <c r="K42" s="2"/>
      <c r="L42" s="3"/>
      <c r="M42" s="3"/>
      <c r="N42" s="3"/>
      <c r="O42" s="3"/>
      <c r="P42" s="3"/>
    </row>
    <row r="43" spans="1:20">
      <c r="C43" s="2"/>
      <c r="D43" s="2"/>
      <c r="E43" s="2"/>
      <c r="F43" s="2"/>
      <c r="G43" s="2"/>
      <c r="H43" s="2"/>
      <c r="I43" s="2"/>
      <c r="J43" s="2"/>
      <c r="K43" s="2"/>
      <c r="L43" s="3"/>
      <c r="M43" s="3"/>
      <c r="N43" s="3"/>
      <c r="O43" s="3"/>
      <c r="P43" s="3"/>
    </row>
    <row r="44" spans="1:20">
      <c r="C44" s="2"/>
      <c r="D44" s="2"/>
      <c r="E44" s="2"/>
      <c r="F44" s="2"/>
      <c r="G44" s="2"/>
      <c r="H44" s="2"/>
      <c r="I44" s="2"/>
      <c r="J44" s="2"/>
      <c r="K44" s="2"/>
      <c r="L44" s="3"/>
      <c r="M44" s="3"/>
      <c r="N44" s="3"/>
      <c r="O44" s="3"/>
      <c r="P44" s="3"/>
    </row>
    <row r="45" spans="1:20">
      <c r="C45" s="2"/>
      <c r="D45" s="2"/>
      <c r="E45" s="2"/>
      <c r="F45" s="2"/>
      <c r="G45" s="2"/>
      <c r="H45" s="2"/>
      <c r="I45" s="2"/>
      <c r="J45" s="2"/>
      <c r="K45" s="2"/>
      <c r="L45" s="3"/>
      <c r="M45" s="3"/>
      <c r="N45" s="3"/>
      <c r="O45" s="3"/>
      <c r="P45" s="3"/>
    </row>
    <row r="46" spans="1:20">
      <c r="C46" s="2"/>
      <c r="D46" s="2"/>
      <c r="E46" s="2"/>
      <c r="F46" s="2"/>
      <c r="G46" s="2"/>
      <c r="H46" s="2"/>
      <c r="I46" s="2"/>
      <c r="J46" s="2"/>
      <c r="K46" s="2"/>
      <c r="L46" s="3"/>
      <c r="M46" s="3"/>
      <c r="N46" s="3"/>
      <c r="O46" s="3"/>
      <c r="P46" s="3"/>
    </row>
    <row r="47" spans="1:20">
      <c r="C47" s="2"/>
      <c r="D47" s="2"/>
      <c r="E47" s="2"/>
      <c r="F47" s="2"/>
      <c r="G47" s="2"/>
      <c r="H47" s="2"/>
      <c r="I47" s="2"/>
      <c r="J47" s="2"/>
      <c r="K47" s="2"/>
      <c r="L47" s="3"/>
      <c r="M47" s="3"/>
      <c r="N47" s="3"/>
      <c r="O47" s="3"/>
      <c r="P47" s="3"/>
    </row>
    <row r="48" spans="1:20">
      <c r="C48" s="2"/>
      <c r="D48" s="2"/>
      <c r="E48" s="2"/>
      <c r="F48" s="2"/>
      <c r="G48" s="2"/>
      <c r="H48" s="2"/>
      <c r="I48" s="2"/>
      <c r="J48" s="2"/>
      <c r="K48" s="2"/>
      <c r="L48" s="3"/>
      <c r="M48" s="3"/>
      <c r="N48" s="3"/>
      <c r="O48" s="3"/>
      <c r="P48" s="3"/>
    </row>
    <row r="49" spans="3:16">
      <c r="C49" s="2"/>
      <c r="D49" s="2"/>
      <c r="E49" s="2"/>
      <c r="F49" s="2"/>
      <c r="G49" s="2"/>
      <c r="H49" s="2"/>
      <c r="I49" s="2"/>
      <c r="J49" s="2"/>
      <c r="K49" s="2"/>
      <c r="L49" s="3"/>
      <c r="M49" s="3"/>
      <c r="N49" s="3"/>
      <c r="O49" s="3"/>
      <c r="P49" s="3"/>
    </row>
    <row r="50" spans="3:16">
      <c r="C50" s="2"/>
      <c r="D50" s="2"/>
      <c r="E50" s="2"/>
      <c r="F50" s="2"/>
      <c r="G50" s="2"/>
      <c r="H50" s="2"/>
      <c r="I50" s="2"/>
      <c r="J50" s="2"/>
      <c r="K50" s="2"/>
      <c r="L50" s="3"/>
      <c r="M50" s="3"/>
      <c r="N50" s="3"/>
      <c r="O50" s="3"/>
      <c r="P50" s="3"/>
    </row>
    <row r="51" spans="3:16">
      <c r="C51" s="2"/>
      <c r="D51" s="2"/>
      <c r="E51" s="2"/>
      <c r="F51" s="2"/>
      <c r="G51" s="2"/>
      <c r="H51" s="2"/>
      <c r="I51" s="2"/>
      <c r="J51" s="2"/>
      <c r="K51" s="2"/>
      <c r="L51" s="3"/>
      <c r="M51" s="3"/>
      <c r="N51" s="3"/>
      <c r="O51" s="3"/>
      <c r="P51" s="3"/>
    </row>
    <row r="52" spans="3:16">
      <c r="C52" s="2"/>
      <c r="D52" s="2"/>
      <c r="E52" s="2"/>
      <c r="F52" s="2"/>
      <c r="G52" s="2"/>
      <c r="H52" s="2"/>
      <c r="I52" s="2"/>
      <c r="J52" s="2"/>
      <c r="K52" s="2"/>
      <c r="L52" s="3"/>
      <c r="M52" s="3"/>
      <c r="N52" s="3"/>
      <c r="O52" s="3"/>
      <c r="P52" s="3"/>
    </row>
    <row r="53" spans="3:16">
      <c r="C53" s="2"/>
      <c r="D53" s="2"/>
      <c r="E53" s="2"/>
      <c r="F53" s="2"/>
      <c r="G53" s="2"/>
      <c r="H53" s="2"/>
      <c r="I53" s="2"/>
      <c r="J53" s="2"/>
      <c r="K53" s="2"/>
      <c r="L53" s="3"/>
      <c r="M53" s="3"/>
      <c r="N53" s="3"/>
      <c r="O53" s="3"/>
      <c r="P53" s="3"/>
    </row>
  </sheetData>
  <phoneticPr fontId="3" type="noConversion"/>
  <conditionalFormatting sqref="M2:M40 F42:F53 G43:K43">
    <cfRule type="dataBar" priority="35">
      <dataBar>
        <cfvo type="min"/>
        <cfvo type="max"/>
        <color rgb="FF5B9BD5"/>
      </dataBar>
    </cfRule>
    <cfRule type="dataBar" priority="36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{BA36EAA5-F0E6-C1AD-B7CE-A5320114ECFC}</x14:id>
        </ext>
      </extLst>
    </cfRule>
  </conditionalFormatting>
  <conditionalFormatting sqref="T2:T40 P42:P53">
    <cfRule type="dataBar" priority="39">
      <dataBar>
        <cfvo type="min"/>
        <cfvo type="max"/>
        <color rgb="FF70AD47"/>
      </dataBar>
    </cfRule>
    <cfRule type="dataBar" priority="40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{79632998-38B9-4B41-1BA2-9CA7353F84D0}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36EAA5-F0E6-C1AD-B7CE-A5320114ECFC}">
            <x14:dataBar>
              <x14:cfvo type="min"/>
              <x14:cfvo type="max"/>
              <x14:negativeFillColor auto="1"/>
              <x14:axisColor auto="1"/>
            </x14:dataBar>
          </x14:cfRule>
          <xm:sqref>M2:M40 F42:F53 G43:K43</xm:sqref>
        </x14:conditionalFormatting>
        <x14:conditionalFormatting xmlns:xm="http://schemas.microsoft.com/office/excel/2006/main">
          <x14:cfRule type="dataBar" id="{79632998-38B9-4B41-1BA2-9CA7353F84D0}">
            <x14:dataBar>
              <x14:cfvo type="min"/>
              <x14:cfvo type="max"/>
              <x14:negativeFillColor auto="1"/>
              <x14:axisColor auto="1"/>
            </x14:dataBar>
          </x14:cfRule>
          <xm:sqref>T2:T40 P42:P53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GREZ TOLOZA</cp:lastModifiedBy>
  <dcterms:modified xsi:type="dcterms:W3CDTF">2026-07-23T19:50:32Z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2026-07-03T21:57:35Z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0257cfc5-a282-4020-8404-89a80e33663a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